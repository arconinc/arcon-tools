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ntries" sheetId="2" state="visible" r:id="rId4"/>
    <sheet name="Needs Review" sheetId="3" state="visible" r:id="rId5"/>
  </sheets>
  <definedNames>
    <definedName function="false" hidden="true" localSheetId="1" name="_xlnm._FilterDatabase" vbProcedure="false">Entries!$A$1:$K$18</definedName>
    <definedName function="false" hidden="true" localSheetId="2" name="_xlnm._FilterDatabase" vbProcedure="false">'Needs Review'!$A$1:$E$7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<sst xmlns="http://schemas.openxmlformats.org/spreadsheetml/2006/main" count="214" uniqueCount="101">
  <si>
    <t xml:space="preserve">Harvest Import Summary — September 2026 (Sep 1–Sep 29, partial month)</t>
  </si>
  <si>
    <t xml:space="preserve">Client</t>
  </si>
  <si>
    <t xml:space="preserve">Hours</t>
  </si>
  <si>
    <t xml:space="preserve">Arcon</t>
  </si>
  <si>
    <t xml:space="preserve">Furball Farm Cat Sanctuary</t>
  </si>
  <si>
    <t xml:space="preserve">Xrossworld</t>
  </si>
  <si>
    <t xml:space="preserve">Grand Total</t>
  </si>
  <si>
    <t xml:space="preserve">Scope note: Matt asked to run this for the current month (September 2026), which is still in progress — through 2026-09-29.</t>
  </si>
  <si>
    <t xml:space="preserve">Date</t>
  </si>
  <si>
    <t xml:space="preserve">Project</t>
  </si>
  <si>
    <t xml:space="preserve">Task</t>
  </si>
  <si>
    <t xml:space="preserve">Notes</t>
  </si>
  <si>
    <t xml:space="preserve">First name</t>
  </si>
  <si>
    <t xml:space="preserve">Last name</t>
  </si>
  <si>
    <t xml:space="preserve">Evidence</t>
  </si>
  <si>
    <t xml:space="preserve">Confidence</t>
  </si>
  <si>
    <t xml:space="preserve">Review note</t>
  </si>
  <si>
    <t xml:space="preserve">2026-09-02</t>
  </si>
  <si>
    <t xml:space="preserve">Programming</t>
  </si>
  <si>
    <t xml:space="preserve">Fix typo in eCommerce labels; update supplier form instructions</t>
  </si>
  <si>
    <t xml:space="preserve">Matt</t>
  </si>
  <si>
    <t xml:space="preserve">Christianson</t>
  </si>
  <si>
    <t xml:space="preserve">Git commit 0c41407 (2026-09-02 14:48 CDT)</t>
  </si>
  <si>
    <t xml:space="preserve">High</t>
  </si>
  <si>
    <t xml:space="preserve">2026-09-03</t>
  </si>
  <si>
    <t xml:space="preserve">Shopify Migration</t>
  </si>
  <si>
    <t xml:space="preserve">Meetings</t>
  </si>
  <si>
    <t xml:space="preserve">FFCS website Zoom meeting</t>
  </si>
  <si>
    <t xml:space="preserve">Google Calendar: FFCS Web Site Zoom Meetings, 1:00-2:00 PM CDT, Matt accepted</t>
  </si>
  <si>
    <t xml:space="preserve">2026-09-08</t>
  </si>
  <si>
    <t xml:space="preserve">Development</t>
  </si>
  <si>
    <t xml:space="preserve">Explore size-based navigation for in-stock items</t>
  </si>
  <si>
    <t xml:space="preserve">Asana task "Option for Size Directory?" completed 2026-09-08</t>
  </si>
  <si>
    <t xml:space="preserve">Medium</t>
  </si>
  <si>
    <t xml:space="preserve">2h is the default per-completed-task estimate (no git repo for Furball); no calendar/email evidence to refine it.</t>
  </si>
  <si>
    <t xml:space="preserve">2026-09-09</t>
  </si>
  <si>
    <t xml:space="preserve">Client and Creator Portal</t>
  </si>
  <si>
    <t xml:space="preserve">Update social accounts handling; add welcome modal assets and tests</t>
  </si>
  <si>
    <t xml:space="preserve">Git commits 96a01c2, 9deb47e (2026-09-09 15:55-16:31 CDT)</t>
  </si>
  <si>
    <t xml:space="preserve">2026-09-10</t>
  </si>
  <si>
    <t xml:space="preserve">Enable reassignment of task comments to participants</t>
  </si>
  <si>
    <t xml:space="preserve">Git commit f98c467 (2026-09-10 15:03 CDT)</t>
  </si>
  <si>
    <t xml:space="preserve">2026-09-12</t>
  </si>
  <si>
    <t xml:space="preserve">Redesign campaign list and detail screens; add ThemeToggle to app shell</t>
  </si>
  <si>
    <t xml:space="preserve">Git commits f569b43, eb1646e, e075041 (2026-09-12 10:32-11:06 CDT)</t>
  </si>
  <si>
    <t xml:space="preserve">2026-09-17</t>
  </si>
  <si>
    <t xml:space="preserve">Add motion system; refactor bid flow and paid ads term handling</t>
  </si>
  <si>
    <t xml:space="preserve">Git commits 500ef0a, e6c298d (2026-09-17 13:50-14:07 CDT)</t>
  </si>
  <si>
    <t xml:space="preserve">Draft Creator Portal bid flow plan</t>
  </si>
  <si>
    <t xml:space="preserve">Git commits bb5e2c3, 2b67c17 (2026-09-17 12:55 CDT, duplicate commit)</t>
  </si>
  <si>
    <t xml:space="preserve">Two identical commit messages at the same minute; likely one planning session, not two.</t>
  </si>
  <si>
    <t xml:space="preserve">Lock theme switching; redesign app menu/logout button; extract Wave component</t>
  </si>
  <si>
    <t xml:space="preserve">Git commit 7d347b4 (2026-09-17 22:49 CDT)</t>
  </si>
  <si>
    <t xml:space="preserve">Single commit but bundles three distinct changes; estimate covers the combined scope.</t>
  </si>
  <si>
    <t xml:space="preserve">2026-09-20</t>
  </si>
  <si>
    <t xml:space="preserve">Add customer/vendor file attachments, self-promo tabs, news comments</t>
  </si>
  <si>
    <t xml:space="preserve">Git commits ebd6217, 9f6cc40, 0604fbf (2026-09-20 12:20-12:27 CDT); Gmail task assignments/completions for news comments and self-promo link</t>
  </si>
  <si>
    <t xml:space="preserve">2026-09-21</t>
  </si>
  <si>
    <t xml:space="preserve">Fix sales rep defaulting to Amy for new customers</t>
  </si>
  <si>
    <t xml:space="preserve">Gmail: task assigned 2026-09-11, marked complete 2026-09-21 (thearc@arconinc.com)</t>
  </si>
  <si>
    <t xml:space="preserve">No matching git commit; completion confirmed via Arc task system, likely a data/config fix.</t>
  </si>
  <si>
    <t xml:space="preserve">2026-09-22</t>
  </si>
  <si>
    <t xml:space="preserve">Refactor theme lock; redesign bid-launched screen; add bid withdrawal</t>
  </si>
  <si>
    <t xml:space="preserve">Git commits fcc2a14, a7ec426, f95764c (2026-09-22 22:19-22:33 CDT)</t>
  </si>
  <si>
    <t xml:space="preserve">2026-09-28</t>
  </si>
  <si>
    <t xml:space="preserve">Add task comment read-tracking and unread counts (CRM tasks)</t>
  </si>
  <si>
    <t xml:space="preserve">Uncommitted working-tree changes as of 2026-09-29 scan (11 modified + several new files, 2 new Supabase migrations, mtimes 16:12-16:43 CDT on 2026-09-28)</t>
  </si>
  <si>
    <t xml:space="preserve">Low</t>
  </si>
  <si>
    <t xml:space="preserve">Not yet committed to git. Confirm actual hours once this work is committed; may overlap with the "Arc Task Changes" meeting invite that afternoon (see Needs Review).</t>
  </si>
  <si>
    <t xml:space="preserve">Compile Arc notification-type inventory for review</t>
  </si>
  <si>
    <t xml:space="preserve">Gmail: Matt to Cami Johnson, 2026-09-28 21:52 CDT, "The Arc – notification inventory for your review"</t>
  </si>
  <si>
    <t xml:space="preserve">Integrate Smartsupp chat; add issue reporting; refactor to GitHub API</t>
  </si>
  <si>
    <t xml:space="preserve">Git commits a801380, f661584, 5940412 (2026-09-28 14:22-15:51 CDT)</t>
  </si>
  <si>
    <t xml:space="preserve">3 commits across ~90 min covering a full feature (chat identity, issue reporting, then a same-day refactor); flagged per the long-session guideline.</t>
  </si>
  <si>
    <t xml:space="preserve">Total</t>
  </si>
  <si>
    <t xml:space="preserve">Item</t>
  </si>
  <si>
    <t xml:space="preserve">Detail</t>
  </si>
  <si>
    <t xml:space="preserve">Suggested action</t>
  </si>
  <si>
    <t xml:space="preserve">2026-09-23 (recurring)/2026-09-28</t>
  </si>
  <si>
    <t xml:space="preserve">"The Arc Task Changes" meeting invite</t>
  </si>
  <si>
    <t xml:space="preserve">Calendar invite from Cami Johnson for 2026-09-28 3:00-4:00 PM CDT never showed as accepted on Matt's calendar, so it wasn't billed as a Meeting. It falls right before the uncommitted CRM task-comment work logged that evening — possibly the same session.</t>
  </si>
  <si>
    <t xml:space="preserve">Confirm whether this meeting happened and, if so, add a Meetings line for Arcon.</t>
  </si>
  <si>
    <t xml:space="preserve">2026-09-25</t>
  </si>
  <si>
    <t xml:space="preserve">"[IT] New task: Add Supplier form not working"</t>
  </si>
  <si>
    <t xml:space="preserve">Task assigned via The Arc on 2026-09-25; no completion notification or matching commit found through 2026-09-29.</t>
  </si>
  <si>
    <t xml:space="preserve">Follow up next run — bill once completion evidence appears.</t>
  </si>
  <si>
    <t xml:space="preserve">"[IT] New task: ASI # on Supplier Form"</t>
  </si>
  <si>
    <t xml:space="preserve">Task assigned via The Arc on 2026-09-28; no completion evidence yet.</t>
  </si>
  <si>
    <t xml:space="preserve">Follow up next run.</t>
  </si>
  <si>
    <t xml:space="preserve">2026-09-23</t>
  </si>
  <si>
    <t xml:space="preserve">FFCS Website Zoom Meeting (11:00 AM-12:00 PM CDT)</t>
  </si>
  <si>
    <t xml:space="preserve">This one-off instance (organized by Karen, separate from the recurring FFCS Web Site Zoom Meetings series) shows Matt's attendance as "needsAction" — never confirmed accepted or declined.</t>
  </si>
  <si>
    <t xml:space="preserve">Confirm attendance; add a 1h Meetings line if Matt was on the call.</t>
  </si>
  <si>
    <t xml:space="preserve">2026-09-08, 09-17, 09-22, 09-29</t>
  </si>
  <si>
    <t xml:space="preserve">Recurring "Xrossworld" calendar block (weekly, 1h, no other attendees)</t>
  </si>
  <si>
    <t xml:space="preserve">This looks like a personal work-time reminder rather than a client meeting (no attendees, self-organized). Not billed separately to avoid double-counting against the git-commit-based entries above. The 2026-09-29 instance is also still in the future as of this report.</t>
  </si>
  <si>
    <t xml:space="preserve">Confirm whether this block represents time beyond what's already captured from commits; if so, add Meetings/Development hours for it.</t>
  </si>
  <si>
    <t xml:space="preserve">throughout September</t>
  </si>
  <si>
    <t xml:space="preserve">Second commit identity: Matt Christianson &lt;matt@xrossworld.ai&gt;</t>
  </si>
  <si>
    <t xml:space="preserve">In addition to mchristianson &lt;christianson.matt@gmail.com&gt; (the configured author), a second identity appears on 5 commits this period — all GitHub "Merge pull request" commits, so no separate hours were attributed to them.</t>
  </si>
  <si>
    <t xml:space="preserve">Confirm this is Matt's own Xrossworld GitHub account so future runs can match on it too.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</si>
</sst>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n">
        <f aca="false">SUMIF(Entries!B:B,A4,Entries!F:F)</f>
        <v>5.75</v>
      </c>
    </row>
    <row r="5" customFormat="false" ht="15" hidden="false" customHeight="false" outlineLevel="0" collapsed="false">
      <c r="A5" s="3" t="s">
        <v>4</v>
      </c>
      <c r="B5" s="4" t="n">
        <f aca="false">SUMIF(Entries!B:B,A5,Entries!F:F)</f>
        <v>5</v>
      </c>
    </row>
    <row r="6" customFormat="false" ht="15" hidden="false" customHeight="false" outlineLevel="0" collapsed="false">
      <c r="A6" s="3" t="s">
        <v>5</v>
      </c>
      <c r="B6" s="4" t="n">
        <f aca="false">SUMIF(Entries!B:B,A6,Entries!F:F)</f>
        <v>9.25</v>
      </c>
    </row>
    <row r="7" customFormat="false" ht="15" hidden="false" customHeight="false" outlineLevel="0" collapsed="false">
      <c r="A7" s="5" t="s">
        <v>6</v>
      </c>
      <c r="B7" s="6" t="n">
        <f aca="false">SUM(B4:B6)</f>
        <v>20</v>
      </c>
    </row>
    <row r="9" customFormat="false" ht="15" hidden="false" customHeight="false" outlineLevel="0" collapsed="false">
      <c r="A9" s="7" t="s">
        <v>7</v>
      </c>
      <c r="B9" s="7"/>
      <c r="C9" s="7"/>
      <c r="D9" s="7"/>
      <c r="E9" s="7"/>
      <c r="F9" s="7"/>
    </row>
  </sheetData>
  <mergeCells count="2">
    <mergeCell ref="A1:C1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4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46"/>
    <col collapsed="false" customWidth="true" hidden="false" outlineLevel="0" max="10" min="10" style="0" width="11"/>
    <col collapsed="false" customWidth="true" hidden="false" outlineLevel="0" max="11" min="11" style="0" width="46"/>
  </cols>
  <sheetData>
    <row r="1" customFormat="false" ht="15" hidden="false" customHeight="false" outlineLevel="0" collapsed="false">
      <c r="A1" s="2" t="s">
        <v>8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2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</row>
    <row r="2" customFormat="false" ht="26.85" hidden="false" customHeight="false" outlineLevel="0" collapsed="false">
      <c r="A2" s="8" t="s">
        <v>17</v>
      </c>
      <c r="B2" s="8" t="s">
        <v>3</v>
      </c>
      <c r="C2" s="8" t="s">
        <v>3</v>
      </c>
      <c r="D2" s="8" t="s">
        <v>18</v>
      </c>
      <c r="E2" s="9" t="s">
        <v>19</v>
      </c>
      <c r="F2" s="10" t="n">
        <v>0.5</v>
      </c>
      <c r="G2" s="8" t="s">
        <v>20</v>
      </c>
      <c r="H2" s="8" t="s">
        <v>21</v>
      </c>
      <c r="I2" s="9" t="s">
        <v>22</v>
      </c>
      <c r="J2" s="8" t="s">
        <v>23</v>
      </c>
      <c r="K2" s="9"/>
    </row>
    <row r="3" customFormat="false" ht="26.85" hidden="false" customHeight="false" outlineLevel="0" collapsed="false">
      <c r="A3" s="8" t="s">
        <v>24</v>
      </c>
      <c r="B3" s="8" t="s">
        <v>4</v>
      </c>
      <c r="C3" s="8" t="s">
        <v>25</v>
      </c>
      <c r="D3" s="8" t="s">
        <v>26</v>
      </c>
      <c r="E3" s="9" t="s">
        <v>27</v>
      </c>
      <c r="F3" s="10" t="n">
        <v>1</v>
      </c>
      <c r="G3" s="8" t="s">
        <v>20</v>
      </c>
      <c r="H3" s="8" t="s">
        <v>21</v>
      </c>
      <c r="I3" s="9" t="s">
        <v>28</v>
      </c>
      <c r="J3" s="8" t="s">
        <v>23</v>
      </c>
      <c r="K3" s="9"/>
    </row>
    <row r="4" customFormat="false" ht="39.55" hidden="false" customHeight="false" outlineLevel="0" collapsed="false">
      <c r="A4" s="8" t="s">
        <v>29</v>
      </c>
      <c r="B4" s="8" t="s">
        <v>4</v>
      </c>
      <c r="C4" s="8" t="s">
        <v>25</v>
      </c>
      <c r="D4" s="8" t="s">
        <v>30</v>
      </c>
      <c r="E4" s="9" t="s">
        <v>31</v>
      </c>
      <c r="F4" s="10" t="n">
        <v>2</v>
      </c>
      <c r="G4" s="8" t="s">
        <v>20</v>
      </c>
      <c r="H4" s="8" t="s">
        <v>21</v>
      </c>
      <c r="I4" s="9" t="s">
        <v>32</v>
      </c>
      <c r="J4" s="8" t="s">
        <v>33</v>
      </c>
      <c r="K4" s="9" t="s">
        <v>34</v>
      </c>
    </row>
    <row r="5" customFormat="false" ht="26.85" hidden="false" customHeight="false" outlineLevel="0" collapsed="false">
      <c r="A5" s="8" t="s">
        <v>35</v>
      </c>
      <c r="B5" s="8" t="s">
        <v>5</v>
      </c>
      <c r="C5" s="8" t="s">
        <v>36</v>
      </c>
      <c r="D5" s="8" t="s">
        <v>30</v>
      </c>
      <c r="E5" s="9" t="s">
        <v>37</v>
      </c>
      <c r="F5" s="10" t="n">
        <v>1.5</v>
      </c>
      <c r="G5" s="8" t="s">
        <v>20</v>
      </c>
      <c r="H5" s="8" t="s">
        <v>21</v>
      </c>
      <c r="I5" s="9" t="s">
        <v>38</v>
      </c>
      <c r="J5" s="8" t="s">
        <v>23</v>
      </c>
      <c r="K5" s="9"/>
    </row>
    <row r="6" customFormat="false" ht="26.85" hidden="false" customHeight="false" outlineLevel="0" collapsed="false">
      <c r="A6" s="8" t="s">
        <v>39</v>
      </c>
      <c r="B6" s="8" t="s">
        <v>3</v>
      </c>
      <c r="C6" s="8" t="s">
        <v>3</v>
      </c>
      <c r="D6" s="8" t="s">
        <v>18</v>
      </c>
      <c r="E6" s="9" t="s">
        <v>40</v>
      </c>
      <c r="F6" s="10" t="n">
        <v>0.75</v>
      </c>
      <c r="G6" s="8" t="s">
        <v>20</v>
      </c>
      <c r="H6" s="8" t="s">
        <v>21</v>
      </c>
      <c r="I6" s="9" t="s">
        <v>41</v>
      </c>
      <c r="J6" s="8" t="s">
        <v>23</v>
      </c>
      <c r="K6" s="9"/>
    </row>
    <row r="7" customFormat="false" ht="26.85" hidden="false" customHeight="false" outlineLevel="0" collapsed="false">
      <c r="A7" s="8" t="s">
        <v>39</v>
      </c>
      <c r="B7" s="8" t="s">
        <v>4</v>
      </c>
      <c r="C7" s="8" t="s">
        <v>25</v>
      </c>
      <c r="D7" s="8" t="s">
        <v>26</v>
      </c>
      <c r="E7" s="9" t="s">
        <v>27</v>
      </c>
      <c r="F7" s="10" t="n">
        <v>1</v>
      </c>
      <c r="G7" s="8" t="s">
        <v>20</v>
      </c>
      <c r="H7" s="8" t="s">
        <v>21</v>
      </c>
      <c r="I7" s="9" t="s">
        <v>28</v>
      </c>
      <c r="J7" s="8" t="s">
        <v>23</v>
      </c>
      <c r="K7" s="9"/>
    </row>
    <row r="8" customFormat="false" ht="26.85" hidden="false" customHeight="false" outlineLevel="0" collapsed="false">
      <c r="A8" s="8" t="s">
        <v>42</v>
      </c>
      <c r="B8" s="8" t="s">
        <v>5</v>
      </c>
      <c r="C8" s="8" t="s">
        <v>36</v>
      </c>
      <c r="D8" s="8" t="s">
        <v>30</v>
      </c>
      <c r="E8" s="9" t="s">
        <v>43</v>
      </c>
      <c r="F8" s="10" t="n">
        <v>1.5</v>
      </c>
      <c r="G8" s="8" t="s">
        <v>20</v>
      </c>
      <c r="H8" s="8" t="s">
        <v>21</v>
      </c>
      <c r="I8" s="9" t="s">
        <v>44</v>
      </c>
      <c r="J8" s="8" t="s">
        <v>23</v>
      </c>
      <c r="K8" s="9"/>
    </row>
    <row r="9" customFormat="false" ht="26.85" hidden="false" customHeight="false" outlineLevel="0" collapsed="false">
      <c r="A9" s="8" t="s">
        <v>45</v>
      </c>
      <c r="B9" s="8" t="s">
        <v>4</v>
      </c>
      <c r="C9" s="8" t="s">
        <v>25</v>
      </c>
      <c r="D9" s="8" t="s">
        <v>26</v>
      </c>
      <c r="E9" s="9" t="s">
        <v>27</v>
      </c>
      <c r="F9" s="10" t="n">
        <v>1</v>
      </c>
      <c r="G9" s="8" t="s">
        <v>20</v>
      </c>
      <c r="H9" s="8" t="s">
        <v>21</v>
      </c>
      <c r="I9" s="9" t="s">
        <v>28</v>
      </c>
      <c r="J9" s="8" t="s">
        <v>23</v>
      </c>
      <c r="K9" s="9"/>
    </row>
    <row r="10" customFormat="false" ht="26.85" hidden="false" customHeight="false" outlineLevel="0" collapsed="false">
      <c r="A10" s="8" t="s">
        <v>45</v>
      </c>
      <c r="B10" s="8" t="s">
        <v>5</v>
      </c>
      <c r="C10" s="8" t="s">
        <v>36</v>
      </c>
      <c r="D10" s="8" t="s">
        <v>30</v>
      </c>
      <c r="E10" s="9" t="s">
        <v>46</v>
      </c>
      <c r="F10" s="10" t="n">
        <v>1</v>
      </c>
      <c r="G10" s="8" t="s">
        <v>20</v>
      </c>
      <c r="H10" s="8" t="s">
        <v>21</v>
      </c>
      <c r="I10" s="9" t="s">
        <v>47</v>
      </c>
      <c r="J10" s="8" t="s">
        <v>23</v>
      </c>
      <c r="K10" s="9"/>
    </row>
    <row r="11" customFormat="false" ht="26.85" hidden="false" customHeight="false" outlineLevel="0" collapsed="false">
      <c r="A11" s="8" t="s">
        <v>45</v>
      </c>
      <c r="B11" s="8" t="s">
        <v>5</v>
      </c>
      <c r="C11" s="8" t="s">
        <v>36</v>
      </c>
      <c r="D11" s="8" t="s">
        <v>30</v>
      </c>
      <c r="E11" s="9" t="s">
        <v>48</v>
      </c>
      <c r="F11" s="10" t="n">
        <v>0.5</v>
      </c>
      <c r="G11" s="8" t="s">
        <v>20</v>
      </c>
      <c r="H11" s="8" t="s">
        <v>21</v>
      </c>
      <c r="I11" s="9" t="s">
        <v>49</v>
      </c>
      <c r="J11" s="8" t="s">
        <v>33</v>
      </c>
      <c r="K11" s="9" t="s">
        <v>50</v>
      </c>
    </row>
    <row r="12" customFormat="false" ht="39.55" hidden="false" customHeight="false" outlineLevel="0" collapsed="false">
      <c r="A12" s="8" t="s">
        <v>45</v>
      </c>
      <c r="B12" s="8" t="s">
        <v>5</v>
      </c>
      <c r="C12" s="8" t="s">
        <v>36</v>
      </c>
      <c r="D12" s="8" t="s">
        <v>30</v>
      </c>
      <c r="E12" s="9" t="s">
        <v>51</v>
      </c>
      <c r="F12" s="10" t="n">
        <v>1.5</v>
      </c>
      <c r="G12" s="8" t="s">
        <v>20</v>
      </c>
      <c r="H12" s="8" t="s">
        <v>21</v>
      </c>
      <c r="I12" s="9" t="s">
        <v>52</v>
      </c>
      <c r="J12" s="8" t="s">
        <v>33</v>
      </c>
      <c r="K12" s="9" t="s">
        <v>53</v>
      </c>
    </row>
    <row r="13" customFormat="false" ht="52.2" hidden="false" customHeight="false" outlineLevel="0" collapsed="false">
      <c r="A13" s="8" t="s">
        <v>54</v>
      </c>
      <c r="B13" s="8" t="s">
        <v>3</v>
      </c>
      <c r="C13" s="8" t="s">
        <v>3</v>
      </c>
      <c r="D13" s="8" t="s">
        <v>18</v>
      </c>
      <c r="E13" s="9" t="s">
        <v>55</v>
      </c>
      <c r="F13" s="10" t="n">
        <v>2</v>
      </c>
      <c r="G13" s="8" t="s">
        <v>20</v>
      </c>
      <c r="H13" s="8" t="s">
        <v>21</v>
      </c>
      <c r="I13" s="9" t="s">
        <v>56</v>
      </c>
      <c r="J13" s="8" t="s">
        <v>23</v>
      </c>
      <c r="K13" s="9"/>
    </row>
    <row r="14" customFormat="false" ht="26.85" hidden="false" customHeight="false" outlineLevel="0" collapsed="false">
      <c r="A14" s="8" t="s">
        <v>57</v>
      </c>
      <c r="B14" s="8" t="s">
        <v>3</v>
      </c>
      <c r="C14" s="8" t="s">
        <v>3</v>
      </c>
      <c r="D14" s="8" t="s">
        <v>18</v>
      </c>
      <c r="E14" s="9" t="s">
        <v>58</v>
      </c>
      <c r="F14" s="10" t="n">
        <v>0.5</v>
      </c>
      <c r="G14" s="8" t="s">
        <v>20</v>
      </c>
      <c r="H14" s="8" t="s">
        <v>21</v>
      </c>
      <c r="I14" s="9" t="s">
        <v>59</v>
      </c>
      <c r="J14" s="8" t="s">
        <v>33</v>
      </c>
      <c r="K14" s="9" t="s">
        <v>60</v>
      </c>
    </row>
    <row r="15" customFormat="false" ht="26.85" hidden="false" customHeight="false" outlineLevel="0" collapsed="false">
      <c r="A15" s="8" t="s">
        <v>61</v>
      </c>
      <c r="B15" s="8" t="s">
        <v>5</v>
      </c>
      <c r="C15" s="8" t="s">
        <v>36</v>
      </c>
      <c r="D15" s="8" t="s">
        <v>30</v>
      </c>
      <c r="E15" s="9" t="s">
        <v>62</v>
      </c>
      <c r="F15" s="10" t="n">
        <v>1.25</v>
      </c>
      <c r="G15" s="8" t="s">
        <v>20</v>
      </c>
      <c r="H15" s="8" t="s">
        <v>21</v>
      </c>
      <c r="I15" s="9" t="s">
        <v>63</v>
      </c>
      <c r="J15" s="8" t="s">
        <v>23</v>
      </c>
      <c r="K15" s="9"/>
    </row>
    <row r="16" customFormat="false" ht="52.2" hidden="false" customHeight="false" outlineLevel="0" collapsed="false">
      <c r="A16" s="11" t="s">
        <v>64</v>
      </c>
      <c r="B16" s="11" t="s">
        <v>3</v>
      </c>
      <c r="C16" s="11" t="s">
        <v>3</v>
      </c>
      <c r="D16" s="11" t="s">
        <v>18</v>
      </c>
      <c r="E16" s="12" t="s">
        <v>65</v>
      </c>
      <c r="F16" s="13" t="n">
        <v>1.5</v>
      </c>
      <c r="G16" s="11" t="s">
        <v>20</v>
      </c>
      <c r="H16" s="11" t="s">
        <v>21</v>
      </c>
      <c r="I16" s="12" t="s">
        <v>66</v>
      </c>
      <c r="J16" s="11" t="s">
        <v>67</v>
      </c>
      <c r="K16" s="12" t="s">
        <v>68</v>
      </c>
    </row>
    <row r="17" customFormat="false" ht="39.55" hidden="false" customHeight="false" outlineLevel="0" collapsed="false">
      <c r="A17" s="8" t="s">
        <v>64</v>
      </c>
      <c r="B17" s="8" t="s">
        <v>3</v>
      </c>
      <c r="C17" s="8" t="s">
        <v>3</v>
      </c>
      <c r="D17" s="8" t="s">
        <v>18</v>
      </c>
      <c r="E17" s="9" t="s">
        <v>69</v>
      </c>
      <c r="F17" s="10" t="n">
        <v>0.5</v>
      </c>
      <c r="G17" s="8" t="s">
        <v>20</v>
      </c>
      <c r="H17" s="8" t="s">
        <v>21</v>
      </c>
      <c r="I17" s="9" t="s">
        <v>70</v>
      </c>
      <c r="J17" s="8" t="s">
        <v>33</v>
      </c>
      <c r="K17" s="9"/>
    </row>
    <row r="18" customFormat="false" ht="39.55" hidden="false" customHeight="false" outlineLevel="0" collapsed="false">
      <c r="A18" s="8" t="s">
        <v>64</v>
      </c>
      <c r="B18" s="8" t="s">
        <v>5</v>
      </c>
      <c r="C18" s="8" t="s">
        <v>36</v>
      </c>
      <c r="D18" s="8" t="s">
        <v>30</v>
      </c>
      <c r="E18" s="9" t="s">
        <v>71</v>
      </c>
      <c r="F18" s="10" t="n">
        <v>2</v>
      </c>
      <c r="G18" s="8" t="s">
        <v>20</v>
      </c>
      <c r="H18" s="8" t="s">
        <v>21</v>
      </c>
      <c r="I18" s="9" t="s">
        <v>72</v>
      </c>
      <c r="J18" s="8" t="s">
        <v>33</v>
      </c>
      <c r="K18" s="9" t="s">
        <v>73</v>
      </c>
    </row>
    <row r="19" customFormat="false" ht="15" hidden="false" customHeight="false" outlineLevel="0" collapsed="false">
      <c r="E19" s="14" t="s">
        <v>74</v>
      </c>
      <c r="F19" s="15" t="n">
        <f aca="false">SUM(F2:F18)</f>
        <v>20</v>
      </c>
    </row>
  </sheetData>
  <autoFilter ref="A1:K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60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2" t="s">
        <v>1</v>
      </c>
      <c r="B1" s="2" t="s">
        <v>8</v>
      </c>
      <c r="C1" s="2" t="s">
        <v>75</v>
      </c>
      <c r="D1" s="2" t="s">
        <v>76</v>
      </c>
      <c r="E1" s="2" t="s">
        <v>77</v>
      </c>
    </row>
    <row r="2" customFormat="false" ht="64.9" hidden="false" customHeight="false" outlineLevel="0" collapsed="false">
      <c r="A2" s="9" t="s">
        <v>3</v>
      </c>
      <c r="B2" s="9" t="s">
        <v>78</v>
      </c>
      <c r="C2" s="9" t="s">
        <v>79</v>
      </c>
      <c r="D2" s="9" t="s">
        <v>80</v>
      </c>
      <c r="E2" s="9" t="s">
        <v>81</v>
      </c>
    </row>
    <row r="3" customFormat="false" ht="26.85" hidden="false" customHeight="false" outlineLevel="0" collapsed="false">
      <c r="A3" s="9" t="s">
        <v>3</v>
      </c>
      <c r="B3" s="9" t="s">
        <v>82</v>
      </c>
      <c r="C3" s="9" t="s">
        <v>83</v>
      </c>
      <c r="D3" s="9" t="s">
        <v>84</v>
      </c>
      <c r="E3" s="9" t="s">
        <v>85</v>
      </c>
    </row>
    <row r="4" customFormat="false" ht="26.85" hidden="false" customHeight="false" outlineLevel="0" collapsed="false">
      <c r="A4" s="9" t="s">
        <v>3</v>
      </c>
      <c r="B4" s="9" t="s">
        <v>64</v>
      </c>
      <c r="C4" s="9" t="s">
        <v>86</v>
      </c>
      <c r="D4" s="9" t="s">
        <v>87</v>
      </c>
      <c r="E4" s="9" t="s">
        <v>88</v>
      </c>
    </row>
    <row r="5" customFormat="false" ht="52.2" hidden="false" customHeight="false" outlineLevel="0" collapsed="false">
      <c r="A5" s="9" t="s">
        <v>4</v>
      </c>
      <c r="B5" s="9" t="s">
        <v>89</v>
      </c>
      <c r="C5" s="9" t="s">
        <v>90</v>
      </c>
      <c r="D5" s="9" t="s">
        <v>91</v>
      </c>
      <c r="E5" s="9" t="s">
        <v>92</v>
      </c>
    </row>
    <row r="6" customFormat="false" ht="64.9" hidden="false" customHeight="false" outlineLevel="0" collapsed="false">
      <c r="A6" s="9" t="s">
        <v>5</v>
      </c>
      <c r="B6" s="9" t="s">
        <v>93</v>
      </c>
      <c r="C6" s="9" t="s">
        <v>94</v>
      </c>
      <c r="D6" s="9" t="s">
        <v>95</v>
      </c>
      <c r="E6" s="9" t="s">
        <v>96</v>
      </c>
    </row>
    <row r="7" customFormat="false" ht="52.2" hidden="false" customHeight="false" outlineLevel="0" collapsed="false">
      <c r="A7" s="9" t="s">
        <v>5</v>
      </c>
      <c r="B7" s="9" t="s">
        <v>97</v>
      </c>
      <c r="C7" s="9" t="s">
        <v>98</v>
      </c>
      <c r="D7" s="9" t="s">
        <v>99</v>
      </c>
      <c r="E7" s="9" t="s">
        <v>100</v>
      </c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2026-09-29T17:14:46Z</dcterms:created>
  <dc:creator>openpyxl</dc:creator>
  <dc:description/>
  <dc:language>en-US</dc:language>
  <cp:lastModifiedBy/>
  <dcterms:modified xsi:type="dcterms:W3CDTF">2026-09-29T17:14:46Z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